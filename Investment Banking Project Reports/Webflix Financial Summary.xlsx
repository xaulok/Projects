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phanierodgers/Desktop/"/>
    </mc:Choice>
  </mc:AlternateContent>
  <xr:revisionPtr revIDLastSave="0" documentId="8_{86D03B60-84C1-4945-BB17-DE8C17EE5AA9}" xr6:coauthVersionLast="47" xr6:coauthVersionMax="47" xr10:uidLastSave="{00000000-0000-0000-0000-000000000000}"/>
  <bookViews>
    <workbookView xWindow="0" yWindow="500" windowWidth="26100" windowHeight="17140" xr2:uid="{24F4CA8D-B666-4D15-AB74-8D44678A64A1}"/>
  </bookViews>
  <sheets>
    <sheet name="Financial Summar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____fd4" hidden="1">#REF!</definedName>
    <definedName name="_____fd4" hidden="1">#REF!</definedName>
    <definedName name="____fd4" hidden="1">#REF!</definedName>
    <definedName name="___fd4" hidden="1">#REF!</definedName>
    <definedName name="___x2" hidden="1">{"summary",#N/A,FALSE,"2000 vs 1999";"detail",#N/A,FALSE,"2000 vs 1999"}</definedName>
    <definedName name="___x3" hidden="1">{"summary",#N/A,FALSE,"2000 vs 1999";"detail",#N/A,FALSE,"2000 vs 1999"}</definedName>
    <definedName name="___x4" hidden="1">{"summary",#N/A,FALSE,"2000 vs 1999";"detail",#N/A,FALSE,"2000 vs 1999"}</definedName>
    <definedName name="___x7" hidden="1">{"summary",#N/A,FALSE,"2000 vs 1999";"detail",#N/A,FALSE,"2000 vs 1999"}</definedName>
    <definedName name="___x9" hidden="1">{"summary",#N/A,FALSE,"2000 vs 1999";"detail",#N/A,FALSE,"2000 vs 1999"}</definedName>
    <definedName name="__123Graph_A" hidden="1">'[1]Comp equip'!$D$52:$D$473</definedName>
    <definedName name="__123Graph_AChart1" hidden="1">'[1]Comp equip'!$D$52:$D$473</definedName>
    <definedName name="__123Graph_ACurrent" hidden="1">'[1]Comp equip'!$D$52:$D$473</definedName>
    <definedName name="__123Graph_B" hidden="1">'[1]Mach &amp; equip'!$F$531:$F$582</definedName>
    <definedName name="__123Graph_BChart1" hidden="1">'[1]Comp equip'!$E$52:$E$473</definedName>
    <definedName name="__123Graph_BCurrent" hidden="1">'[1]Comp equip'!$E$52:$E$473</definedName>
    <definedName name="__123Graph_C" hidden="1">'[1]Comp equip'!$E$52:$E$473</definedName>
    <definedName name="__123Graph_CChart1" hidden="1">'[1]Comp equip'!$F$52:$F$473</definedName>
    <definedName name="__123Graph_CCurrent" hidden="1">'[1]Comp equip'!$F$52:$F$473</definedName>
    <definedName name="__123Graph_D" hidden="1">'[1]Mach &amp; equip'!$H$531:$H$582</definedName>
    <definedName name="__123Graph_DGraph7" hidden="1">'[2]GA Forc 04'!#REF!</definedName>
    <definedName name="__123Graph_LBL_D" hidden="1">'[2]GA Forc 04'!#REF!</definedName>
    <definedName name="__123Graph_LBL_DGraph7" hidden="1">'[2]GA Forc 04'!#REF!</definedName>
    <definedName name="__123Graph_X" hidden="1">'[1]Mach &amp; equip'!$D$531:$D$582</definedName>
    <definedName name="__a1" hidden="1">{"Month End Performance",#N/A,FALSE,"Report";"Site Talk Times",#N/A,FALSE,"Report"}</definedName>
    <definedName name="__fd4" hidden="1">#REF!</definedName>
    <definedName name="__FDS_HYPERLINK_TOGGLE_STATE__" hidden="1">"ON"</definedName>
    <definedName name="__new0600" hidden="1">[3]RACC0100!#REF!</definedName>
    <definedName name="__v1" hidden="1">{"Month End Performance",#N/A,FALSE,"Report";"Site Talk Times",#N/A,FALSE,"Report"}</definedName>
    <definedName name="__v2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_123" hidden="1">'[2]GA Forc 04'!#REF!</definedName>
    <definedName name="_a1" hidden="1">{"Month End Performance",#N/A,FALSE,"Report";"Site Talk Times",#N/A,FALSE,"Report"}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1</definedName>
    <definedName name="_AtRisk_SimSetting_SimNameCount" hidden="1">0</definedName>
    <definedName name="_AtRisk_SimSetting_SmartSensitivityAnalysisEnabled" hidden="1">TRUE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dm.115D4FB4D9A84626B318E046367A3D12.edm" hidden="1">#REF!</definedName>
    <definedName name="_bdm.2DE103823B7347398840E57A9787474D.edm" hidden="1">'[4]DIS Valuation'!$A:$IV</definedName>
    <definedName name="_bdm.3507FD752BEE45868679D7E66A2D35AE.edm" hidden="1">'[4]Overview of Faulkner Valuat (2)'!$A:$IV</definedName>
    <definedName name="_bdm.38621055621743AC8ED52D6474136128.edm" hidden="1">#REF!</definedName>
    <definedName name="_bdm.585B80C23BD749C9866492782657D0FF.edm" hidden="1">#REF!</definedName>
    <definedName name="_bdm.6F118E13BCA74523A5F7D44B97BB24AB.edm" hidden="1">#REF!</definedName>
    <definedName name="_bdm.741B49C292CE4025B8B4A92B60059147.edm" hidden="1">#REF!</definedName>
    <definedName name="_bdm.8917B83A9C67419BBA29D41D6ABE20EB.edm" hidden="1">#REF!</definedName>
    <definedName name="_bdm.8D70AE3BD2644F5A82999E4A4539960D.edm" hidden="1">#REF!</definedName>
    <definedName name="_bdm.96A51326206F4C2184F5DADA7CC76AEF.edm" hidden="1">#REF!</definedName>
    <definedName name="_bdm.96F0454A92F1473695EC587AB5B15F1C.edm" hidden="1">#REF!</definedName>
    <definedName name="_bdm.B167B5F421BF4186B589AB430C613A7F.edm" hidden="1">'[4]Project Faulkner Valuation'!$A:$IV</definedName>
    <definedName name="_bdm.BB01CF27BE7544CF8DDC4EFA01ACD110.edm" hidden="1">#REF!</definedName>
    <definedName name="_bdm.D30A773027214C8C80CB0CF3399716F0.edm" hidden="1">#REF!</definedName>
    <definedName name="_bdm.ECE215B0F4474189ADA6EF0427D8D0FD.edm" hidden="1">#REF!</definedName>
    <definedName name="_Dist_Values" hidden="1">#REF!</definedName>
    <definedName name="_fd4" hidden="1">#REF!</definedName>
    <definedName name="_Fill" hidden="1">[5]IND!#REF!</definedName>
    <definedName name="_xlnm._FilterDatabase" hidden="1">#REF!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new0600" hidden="1">[3]RACC0100!#REF!</definedName>
    <definedName name="_Order1" hidden="1">255</definedName>
    <definedName name="_Order2" hidden="1">255</definedName>
    <definedName name="_Order3" hidden="1">255</definedName>
    <definedName name="_Regression_Int" hidden="1">1</definedName>
    <definedName name="_Sort" hidden="1">#REF!</definedName>
    <definedName name="_Sort1" hidden="1">#REF!</definedName>
    <definedName name="_sort2" hidden="1">#REF!</definedName>
    <definedName name="_sort3" hidden="1">#REF!</definedName>
    <definedName name="_Table1_In1" hidden="1">#REF!</definedName>
    <definedName name="_Table1_In1_Dollar" hidden="1">#REF!</definedName>
    <definedName name="_Table1_In1_Dollar2" hidden="1">#REF!</definedName>
    <definedName name="_Table1_In1_Euro" hidden="1">#REF!</definedName>
    <definedName name="_Table1_Out" hidden="1">#REF!</definedName>
    <definedName name="_Table1_Out_Dollar" hidden="1">#REF!</definedName>
    <definedName name="_Table2_In1" hidden="1">#REF!</definedName>
    <definedName name="_Table2_In1_Dollar" hidden="1">#REF!</definedName>
    <definedName name="_Table2_Out" hidden="1">#REF!</definedName>
    <definedName name="_Table2_Out_Dollar" hidden="1">#REF!</definedName>
    <definedName name="_v1" hidden="1">{"Month End Performance",#N/A,FALSE,"Report";"Site Talk Times",#N/A,FALSE,"Report"}</definedName>
    <definedName name="_v2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a" hidden="1">{#N/A,#N/A,TRUE,"summary";#N/A,#N/A,TRUE,"model";#N/A,#N/A,TRUE,"Consolidated P&amp;L Summary";#N/A,#N/A,TRUE,"Schwinn";#N/A,#N/A,TRUE,"G.T.";#N/A,#N/A,TRUE,"Hebb"}</definedName>
    <definedName name="aa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aaa" hidden="1">{#N/A,#N/A,FALSE,"TAX COMPUTATION";#N/A,#N/A,FALSE,"TAX SCHEDULE";#N/A,#N/A,FALSE,"ADDITIONS";#N/A,#N/A,FALSE,"W &amp; 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abc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aabcd" hidden="1">{#N/A,#N/A,TRUE,"Sch-5a";#N/A,#N/A,TRUE,"Sch-5b";#N/A,#N/A,TRUE,"Sch-5c";#N/A,#N/A,TRUE,"Sch-5d";#N/A,#N/A,TRUE,"Sch-6a";#N/A,#N/A,TRUE,"Sch-6b";#N/A,#N/A,TRUE,"Sch-6c";#N/A,#N/A,TRUE,"Sch-6d";#N/A,#N/A,TRUE,"Sch-6e"}</definedName>
    <definedName name="aarg" hidden="1">{"summary",#N/A,FALSE,"2000 vs 1999";"detail",#N/A,FALSE,"2000 vs 1999"}</definedName>
    <definedName name="abc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abcd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bcde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abcdef" hidden="1">{"summary",#N/A,FALSE,"2000 vs 1999";"detail",#N/A,FALSE,"2000 vs 1999"}</definedName>
    <definedName name="abcdefg" hidden="1">{"Valuation - Letter",#N/A,TRUE,"Valuation Summary";"Financial Statements - Letter",#N/A,TRUE,"Results";"Results - Letter",#N/A,TRUE,"Results";"Ratios - Letter",#N/A,TRUE,"Results";"P2 Summary - Letter",#N/A,TRUE,"Results"}</definedName>
    <definedName name="ac" hidden="1">[6]Summary!#REF!</definedName>
    <definedName name="AccessDatabase" hidden="1">"C:\DATA\Kevin\Kevin's Model.mdb"</definedName>
    <definedName name="adele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aerae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eraeraew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erea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erew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nscount" hidden="1">1</definedName>
    <definedName name="arhf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AS2DocOpenMode" hidden="1">"AS2DocumentEdit"</definedName>
    <definedName name="AS2HasNoAutoHeaderFooter" hidden="1">" "</definedName>
    <definedName name="AS2NamedRange" hidden="1">6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da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asdadasd" hidden="1">#REF!</definedName>
    <definedName name="asdasdasd" hidden="1">#REF!</definedName>
    <definedName name="asdasddfguer" hidden="1">#REF!</definedName>
    <definedName name="asfdasdf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z" hidden="1">#REF!</definedName>
    <definedName name="b" hidden="1">{#N/A,#N/A,TRUE,"summary";#N/A,#N/A,TRUE,"model";#N/A,#N/A,TRUE,"Consolidated P&amp;L Summary";#N/A,#N/A,TRUE,"Schwinn";#N/A,#N/A,TRUE,"G.T.";#N/A,#N/A,TRUE,"Hebb"}</definedName>
    <definedName name="B1.1" hidden="1">#REF!</definedName>
    <definedName name="bb" hidden="1">{#N/A,#N/A,TRUE,"summary";#N/A,#N/A,TRUE,"model";#N/A,#N/A,TRUE,"Consolidated P&amp;L Summary";#N/A,#N/A,TRUE,"Schwinn";#N/A,#N/A,TRUE,"G.T.";#N/A,#N/A,TRUE,"Hebb"}</definedName>
    <definedName name="bbb" hidden="1">{#N/A,#N/A,FALSE,"Assessment";#N/A,#N/A,FALSE,"Staffing";#N/A,#N/A,FALSE,"Hires";#N/A,#N/A,FALSE,"Assumptions"}</definedName>
    <definedName name="bbbb" hidden="1">#REF!</definedName>
    <definedName name="bbbbb" hidden="1">{#N/A,#N/A,FALSE,"Assessment";#N/A,#N/A,FALSE,"Staffing";#N/A,#N/A,FALSE,"Hires";#N/A,#N/A,FALSE,"Assumptions"}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g" hidden="1">{#N/A,#N/A,TRUE,"summary";#N/A,#N/A,TRUE,"model"}</definedName>
    <definedName name="BG_Del" hidden="1">15</definedName>
    <definedName name="BG_Ins" hidden="1">4</definedName>
    <definedName name="BG_Mod" hidden="1">6</definedName>
    <definedName name="BLPH1" hidden="1">#REF!</definedName>
    <definedName name="BLPH2" hidden="1">#REF!</definedName>
    <definedName name="BLPH28" hidden="1">'[7]Bloomberg Input'!#REF!</definedName>
    <definedName name="BLPH29" hidden="1">'[7]Bloomberg Input'!#REF!</definedName>
    <definedName name="BLPH3" hidden="1">#REF!</definedName>
    <definedName name="BLPH30" hidden="1">'[7]Bloomberg Input'!#REF!</definedName>
    <definedName name="BLPH4" hidden="1">#REF!</definedName>
    <definedName name="ca" hidden="1">#REF!</definedName>
    <definedName name="cc" hidden="1">{#N/A,#N/A,FALSE,"Assessment";#N/A,#N/A,FALSE,"Staffing";#N/A,#N/A,FALSE,"Hires";#N/A,#N/A,FALSE,"Assumptions"}</definedName>
    <definedName name="ccc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cccc" hidden="1">{#N/A,#N/A,FALSE,"Assessment";#N/A,#N/A,FALSE,"Staffing";#N/A,#N/A,FALSE,"Hires";#N/A,#N/A,FALSE,"Assumptions"}</definedName>
    <definedName name="cindy" hidden="1">{#N/A,#N/A,FALSE,"COVER";#N/A,#N/A,FALSE,"AGENDA";#N/A,#N/A,FALSE,"INCOME";#N/A,#N/A,FALSE,"AR";#N/A,#N/A,FALSE,"POS";#N/A,#N/A,FALSE,"SOURCESCHARGES";#N/A,#N/A,FALSE,"CHARGES";#N/A,#N/A,FALSE,"PROCEDURES";#N/A,#N/A,FALSE,"SOURCESCOLLECT";#N/A,#N/A,FALSE,"COLLECT";#N/A,#N/A,FALSE,"SOURCESADJ";#N/A,#N/A,FALSE,"ADJUST";#N/A,#N/A,FALSE,"GCR"}</definedName>
    <definedName name="CIQWBGuid" hidden="1">"1f061a6a-87ca-4491-aadc-b27e32cd14f6"</definedName>
    <definedName name="coun" hidden="1">{#N/A,#N/A,FALSE,"Assessment";#N/A,#N/A,FALSE,"Staffing";#N/A,#N/A,FALSE,"Hires";#N/A,#N/A,FALSE,"Assumptions"}</definedName>
    <definedName name="COUNT2" hidden="1">{#N/A,#N/A,FALSE,"Assessment";#N/A,#N/A,FALSE,"Staffing";#N/A,#N/A,FALSE,"Hires";#N/A,#N/A,FALSE,"Assumptions"}</definedName>
    <definedName name="dasd" hidden="1">#REF!</definedName>
    <definedName name="dcvv" hidden="1">#REF!</definedName>
    <definedName name="dd" hidden="1">{#N/A,"Base",FALSE,"Dividend";#N/A,"Conservative",FALSE,"Dividend";#N/A,"Downside",FALSE,"Dividend"}</definedName>
    <definedName name="ddd" hidden="1">#REF!</definedName>
    <definedName name="de" hidden="1">{#N/A,#N/A,FALSE,"Assessment";#N/A,#N/A,FALSE,"Staffing";#N/A,#N/A,FALSE,"Hires";#N/A,#N/A,FALSE,"Assumptions"}</definedName>
    <definedName name="df" hidden="1">'[2]GA Forc 04'!#REF!</definedName>
    <definedName name="dfds" hidden="1">#REF!</definedName>
    <definedName name="dsaf" hidden="1">{#N/A,#N/A,TRUE,"summary";#N/A,#N/A,TRUE,"model"}</definedName>
    <definedName name="dsd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ee" hidden="1">{#N/A,"Base",FALSE,"Dividend";#N/A,"Conservative",FALSE,"Dividend";#N/A,"Downside",FALSE,"Dividend"}</definedName>
    <definedName name="er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erae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ere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erear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esssdcssdadeqweqwfsdg" hidden="1">{"summary",#N/A,FALSE,"2000 vs 1999";"detail",#N/A,FALSE,"2000 vs 1999"}</definedName>
    <definedName name="etjh" hidden="1">{"Month End Performance",#N/A,FALSE,"Report";"Site Talk Times",#N/A,FALSE,"Report"}</definedName>
    <definedName name="EV__CVPARAMS__" hidden="1">"Trend!$B$17:$C$38;"</definedName>
    <definedName name="EV__DECIMALSYMBOL__" hidden="1">"."</definedName>
    <definedName name="EV__EXPOPTIONS__" hidden="1">1</definedName>
    <definedName name="EV__LASTREFTIME__" hidden="1">40000.4537268519</definedName>
    <definedName name="EV__LOCKEDCVW__FINANCE" hidden="1">"TOT_COP_PCK,ACTUAL,BASE,CONSOLIDATED,DATASTORE,RETAIL,2008.TOTAL,PERIODIC,"</definedName>
    <definedName name="EV__LOCKEDCVW__HR" hidden="1">"ACTUAL,TotalAdj,TOT_EMPLOYEE,TOT_CARIBOU,HRROLL,2004.TOTAL,PERIODIC,"</definedName>
    <definedName name="EV__LOCKEDCVW__HR_2008" hidden="1">"ACTUAL,TotalAdj,TOT_EMP_08,TOT_CARIBOU,HRROLL,USD,2004.TOTAL,PERIODIC,"</definedName>
    <definedName name="EV__LOCKEDCVW__HR_2009" hidden="1">"ACTUAL,TotalAdj,TOT_EMP_09,TOT_CARIBOU,HRROLL,USD,2004.TOTAL,PERIODIC,"</definedName>
    <definedName name="EV__LOCKEDCVW__RATE" hidden="1">"ACTUAL,USD,Avg,RateInput,2004.TOTAL,PERIODIC,"</definedName>
    <definedName name="EV__LOCKEDCVW__WAREHOUSE" hidden="1">"ACTUAL,TotalAdj,TOT_CARIBOU,TOTAL_SKU,2004.TOTAL,QTY,PERIODIC,"</definedName>
    <definedName name="EV__LOCKSTATUS__" hidden="1">4</definedName>
    <definedName name="EV__MAXEXPCOLS__" hidden="1">100</definedName>
    <definedName name="EV__MAXEXPROWS__" hidden="1">1000</definedName>
    <definedName name="EV__WBEVMODE__" hidden="1">0</definedName>
    <definedName name="EV__WBREFOPTIONS__" hidden="1">134217783</definedName>
    <definedName name="EV__WBVERSION__" hidden="1">0</definedName>
    <definedName name="ExactAddinConnection" hidden="1">"628"</definedName>
    <definedName name="ExactAddinConnection.628" hidden="1">"ET-KINGDEE;002;lixia;1"</definedName>
    <definedName name="ExactAddinReports" hidden="1">1</definedName>
    <definedName name="f" hidden="1">{#N/A,#N/A,FALSE,"Assessment";#N/A,#N/A,FALSE,"Staffing";#N/A,#N/A,FALSE,"Hires";#N/A,#N/A,FALSE,"Assumptions"}</definedName>
    <definedName name="FBAANHHF" hidden="1">#REF!</definedName>
    <definedName name="ff" hidden="1">{#N/A,"Base",FALSE,"Dividend";#N/A,"Conservative",FALSE,"Dividend";#N/A,"Downside",FALSE,"Dividend"}</definedName>
    <definedName name="financial" hidden="1">{#N/A,#N/A,FALSE,"Summary";#N/A,#N/A,FALSE,"Projections";#N/A,#N/A,FALSE,"Mkt Mults";#N/A,#N/A,FALSE,"DCF";#N/A,#N/A,FALSE,"Accr Dil";#N/A,#N/A,FALSE,"PIC LBO";#N/A,#N/A,FALSE,"MULT10_4";#N/A,#N/A,FALSE,"CBI LBO"}</definedName>
    <definedName name="fsd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fsdbf" hidden="1">{"summary",#N/A,FALSE,"2000 vs 1999";"detail",#N/A,FALSE,"2000 vs 1999"}</definedName>
    <definedName name="g" hidden="1">{#N/A,#N/A,FALSE,"Assessment";#N/A,#N/A,FALSE,"Staffing";#N/A,#N/A,FALSE,"Hires";#N/A,#N/A,FALSE,"Assumptions"}</definedName>
    <definedName name="gg" hidden="1">{#N/A,#N/A,TRUE,"summary";#N/A,#N/A,TRUE,"model"}</definedName>
    <definedName name="gggggg" hidden="1">#REF!</definedName>
    <definedName name="ghjlou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P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Halstead" hidden="1">{#N/A,"Base",FALSE,"Dividend";#N/A,"Conservative",FALSE,"Dividend";#N/A,"Downside",FALSE,"Dividend"}</definedName>
    <definedName name="hh" hidden="1">{"Visipaque",#N/A,FALSE,"Visipaque"}</definedName>
    <definedName name="Hi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MFE" hidden="1">{#N/A,#N/A,FALSE,"Assessment";#N/A,#N/A,FALSE,"Staffing";#N/A,#N/A,FALSE,"Hires";#N/A,#N/A,FALSE,"Assumptions"}</definedName>
    <definedName name="houy" hidden="1">{#N/A,#N/A,FALSE,"AD_Purchase";#N/A,#N/A,FALSE,"Credit";#N/A,#N/A,FALSE,"PF Acquisition";#N/A,#N/A,FALSE,"PF Offering"}</definedName>
    <definedName name="HTML_CodePage" hidden="1">1252</definedName>
    <definedName name="HTML_Control" hidden="1">{"'Sheet1'!$A$1:$J$121"}</definedName>
    <definedName name="HTML_Description" hidden="1">""</definedName>
    <definedName name="HTML_Email" hidden="1">""</definedName>
    <definedName name="HTML_Header" hidden="1">"Sheet1"</definedName>
    <definedName name="HTML_LastUpdate" hidden="1">"10/21/99"</definedName>
    <definedName name="HTML_LineAfter" hidden="1">FALSE</definedName>
    <definedName name="HTML_LineBefore" hidden="1">FALSE</definedName>
    <definedName name="HTML_Name" hidden="1">"Paulette Peoples"</definedName>
    <definedName name="HTML_OBDlg2" hidden="1">TRUE</definedName>
    <definedName name="HTML_OBDlg4" hidden="1">TRUE</definedName>
    <definedName name="HTML_OS" hidden="1">0</definedName>
    <definedName name="HTML_PathFile" hidden="1">"\\Bhincres01\groups\Mkt_Dev\EXECMKTR\RIGS\RigBible\Web NA.htm"</definedName>
    <definedName name="HTML_Title" hidden="1">"Total North America"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"c2108"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RATING_FITCH" hidden="1">"IQ_BONDRATING_FITCH"</definedName>
    <definedName name="IQ_BONDRATING_SP" hidden="1">"IQ_BONDRATING_SP"</definedName>
    <definedName name="IQ_BOOK_VALUE" hidden="1">"IQ_BOOK_VALUE"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_SEG_PRIMARY_GIC" hidden="1">"c15584"</definedName>
    <definedName name="IQ_BUS_SEG_PRIMARY_GIC_ABS" hidden="1">"c15572"</definedName>
    <definedName name="IQ_BUS_SEG_SECONDARY_GIC" hidden="1">"c15585"</definedName>
    <definedName name="IQ_BUS_SEG_SECONDARY_GIC_ABS" hidden="1">"c15573"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TRACTS_OTHER_COMMODITIES_EQUITIES_FDIC" hidden="1">"c6522"</definedName>
    <definedName name="IQ_CONV_RATE" hidden="1">"c2192"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GROWTH_1" hidden="1">"IQ_EBIT_GROWTH_1"</definedName>
    <definedName name="IQ_EBIT_GROWTH_2" hidden="1">"IQ_EBIT_GROWTH_2"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GROWTH_1" hidden="1">"IQ_EBITDA_GROWTH_1"</definedName>
    <definedName name="IQ_EBITDA_GROWTH_2" hidden="1">"IQ_EBITDA_GROWTH_2"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EST_1" hidden="1">"IQ_EPS_EST_1"</definedName>
    <definedName name="IQ_EPS_HIGH_EST" hidden="1">"c400"</definedName>
    <definedName name="IQ_EPS_LOW_EST" hidden="1">"c401"</definedName>
    <definedName name="IQ_EPS_NORM" hidden="1">"c1902"</definedName>
    <definedName name="IQ_EPS_NUM_EST" hidden="1">"c402"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STDDEV_EST" hidden="1">"c403"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_PRIMARY" hidden="1">"c2232"</definedName>
    <definedName name="IQ_EST_CURRENCY" hidden="1">"c2140"</definedName>
    <definedName name="IQ_EST_EPS_GROWTH_1YR" hidden="1">"c1636"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SURPRISE" hidden="1">"c1635"</definedName>
    <definedName name="IQ_EST_NUM_BUY_REUT" hidden="1">"c3869"</definedName>
    <definedName name="IQ_EST_NUM_BUY_THOM" hidden="1">"c5165"</definedName>
    <definedName name="IQ_EST_NUM_HOLD_REUT" hidden="1">"c3871"</definedName>
    <definedName name="IQ_EST_NUM_HOLD_THOM" hidden="1">"c5167"</definedName>
    <definedName name="IQ_EST_NUM_OUTPERFORM_REUT" hidden="1">"c3870"</definedName>
    <definedName name="IQ_EST_NUM_OUTPERFORM_THOM" hidden="1">"c5166"</definedName>
    <definedName name="IQ_EST_NUM_SELL_REUT" hidden="1">"c3873"</definedName>
    <definedName name="IQ_EST_NUM_SELL_THOM" hidden="1">"c5169"</definedName>
    <definedName name="IQ_EST_NUM_UNDERPERFORM_REUT" hidden="1">"c3872"</definedName>
    <definedName name="IQ_EST_NUM_UNDERPERFORM_THOM" hidden="1">"c5168"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_DATE" hidden="1">"IQ_FY_DATE"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D_GUARANTEED_US_FDIC" hidden="1">"c6404"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CAP" hidden="1">"c712"</definedName>
    <definedName name="IQ_MATURITY_ONE_YEAR_LESS_FDIC" hidden="1">"c6425"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42773.187650463</definedName>
    <definedName name="IQ_NAV_ACT_OR_EST" hidden="1">"c2225"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RETURN_ASSETS_FDIC" hidden="1">"c6731"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THOM" hidden="1">"c5297"</definedName>
    <definedName name="IQ_PRIMARY_INDUSTRY" hidden="1">"c1070"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_1" hidden="1">"IQ_REVENUE_EST_1"</definedName>
    <definedName name="IQ_REVENUE_GROWTH_1" hidden="1">"IQ_REVENUE_GROWTH_1"</definedName>
    <definedName name="IQ_REVENUE_GROWTH_2" hidden="1">"IQ_REVENUE_GROWTH_2"</definedName>
    <definedName name="IQ_RISK_WEIGHTED_ASSETS_FDIC" hidden="1">"c6370"</definedName>
    <definedName name="IQ_ROYALTY_REVENUE_COAL" hidden="1">"c15932"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HIGH" hidden="1">"c1337"</definedName>
    <definedName name="IQ_YEARLOW" hidden="1">"c1338"</definedName>
    <definedName name="IQ_YTDMONTH" hidden="1">130000</definedName>
    <definedName name="IQ_Z_SCORE" hidden="1">"c1339"</definedName>
    <definedName name="IQB_BOOKMARK_COUNT" hidden="1">0</definedName>
    <definedName name="IQB_BOOKMARK_LOCATION_0" hidden="1">'[8]SOTP Comps'!#REF!</definedName>
    <definedName name="IQB_BOOKMARK_LOCATION_1" hidden="1">#REF!</definedName>
    <definedName name="IQRB11" hidden="1">"$B$12:$B$262"</definedName>
    <definedName name="IQRB12" hidden="1">"$B$13:$B$264"</definedName>
    <definedName name="IQRB13" hidden="1">"$B$14:$B$265"</definedName>
    <definedName name="IQRB14" hidden="1">"$B$15:$B$266"</definedName>
    <definedName name="IQRB3" hidden="1">"$B$4:$B$13"</definedName>
    <definedName name="IQRB4" hidden="1">"$B$5:$B$14"</definedName>
    <definedName name="IQRB5" hidden="1">"$B$6:$B$15"</definedName>
    <definedName name="IQRB6" hidden="1">"$B$7:$B$16"</definedName>
    <definedName name="IQRB8" hidden="1">"$B$9:$B$1268"</definedName>
    <definedName name="IQRB9" hidden="1">"$B$10:$B$1268"</definedName>
    <definedName name="IQRC3" hidden="1">"$C$4:$C$13"</definedName>
    <definedName name="IQRI8" hidden="1">"$I$9:$I$1266"</definedName>
    <definedName name="IQRN9" hidden="1">"$N$10:$N$71"</definedName>
    <definedName name="IQSCompsA96" hidden="1">"$A$97:$A$98"</definedName>
    <definedName name="IQSECommerceA1" hidden="1">"$A$2:$A$5"</definedName>
    <definedName name="IQSInternetContentA1" hidden="1">"$A$2:$A$11"</definedName>
    <definedName name="IQSTransA1" hidden="1">"$A$2:$A$3"</definedName>
    <definedName name="iuer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iut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iuyif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j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J_WT" hidden="1">#REF!</definedName>
    <definedName name="jbxbzf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jeff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jfsd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JJJJ" hidden="1">#REF!</definedName>
    <definedName name="jvh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K2_WBEVMODE" hidden="1">0</definedName>
    <definedName name="K301A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kjfgj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KKK" hidden="1">{#N/A,#N/A,FALSE,"Assessment";#N/A,#N/A,FALSE,"Staffing";#N/A,#N/A,FALSE,"Hires";#N/A,#N/A,FALSE,"Assumptions"}</definedName>
    <definedName name="kr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limcount" hidden="1">1</definedName>
    <definedName name="ListOffset" hidden="1">1</definedName>
    <definedName name="ljer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lkj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mark" hidden="1">{"summary",#N/A,FALSE,"2000 vs 1999";"detail",#N/A,FALSE,"2000 vs 1999"}</definedName>
    <definedName name="MMO" hidden="1">{#N/A,#N/A,FALSE,"Cover";#N/A,#N/A,FALSE,"Contents";#N/A,#N/A,FALSE,"Overview";#N/A,#N/A,FALSE,"Assumps";#N/A,#N/A,FALSE,"97 DAL hrs";#N/A,#N/A,FALSE,"97 heads";#N/A,#N/A,FALSE,"97 Expense";#N/A,#N/A,FALSE,"97 Exp prod";#N/A,#N/A,FALSE,"97 Rates";#N/A,#N/A,FALSE,"97 shop cost";#N/A,#N/A,FALSE,"98 DAL hrs";#N/A,#N/A,FALSE,"98 heads";#N/A,#N/A,FALSE,"98 Expense";#N/A,#N/A,FALSE,"98 Exp prod";#N/A,#N/A,FALSE,"98 Rates";#N/A,#N/A,FALSE,"98 shop cost";#N/A,#N/A,FALSE,"Issues";#N/A,#N/A,FALSE,"97 Inv related exp"}</definedName>
    <definedName name="my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new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NewOM" hidden="1">{"summary",#N/A,FALSE,"2000 vs 1999";"detail",#N/A,FALSE,"2000 vs 1999"}</definedName>
    <definedName name="ng" hidden="1">{"Month End Performance",#N/A,FALSE,"Report";"Site Talk Times",#N/A,FALSE,"Report"}</definedName>
    <definedName name="nnn" hidden="1">{#N/A,#N/A,FALSE,"Assessment";#N/A,#N/A,FALSE,"Staffing";#N/A,#N/A,FALSE,"Hires";#N/A,#N/A,FALSE,"Assumptions"}</definedName>
    <definedName name="noth2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3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4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5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6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7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ing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s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OOO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PopCache_GL_INTERFACE_REFERENCE7" hidden="1">[9]PopCache!$A$1:$A$2</definedName>
    <definedName name="_xlnm.Print_Area" localSheetId="0">'Financial Summary'!$A$1:$J$34</definedName>
    <definedName name="prod." hidden="1">{"summary",#N/A,FALSE,"2000 vs 1999";"detail",#N/A,FALSE,"2000 vs 1999"}</definedName>
    <definedName name="q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qafgs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QQQQQ" hidden="1">#REF!</definedName>
    <definedName name="qwer" hidden="1">#REF!</definedName>
    <definedName name="rdhvjv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resources" hidden="1">{#N/A,#N/A,FALSE,"Assessment";#N/A,#N/A,FALSE,"Staffing";#N/A,#N/A,FALSE,"Hires";#N/A,#N/A,FALSE,"Assumptions"}</definedName>
    <definedName name="Revised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r" hidden="1">{#N/A,#N/A,TRUE,"summary";#N/A,#N/A,TRUE,"model"}</definedName>
    <definedName name="rtndf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rty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safsdfsdfasdfas" hidden="1">#REF!</definedName>
    <definedName name="SAPBEXrevision" hidden="1">1</definedName>
    <definedName name="SAPBEXsysID" hidden="1">"BWP"</definedName>
    <definedName name="SAPBEXwbID" hidden="1">"3TNQLDO65RMXAWEU2XZC58J6K"</definedName>
    <definedName name="sd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sdad" hidden="1">#REF!</definedName>
    <definedName name="sdasdasd" hidden="1">#REF!</definedName>
    <definedName name="sdgsdgsdgsdg" hidden="1">#REF!</definedName>
    <definedName name="sencount" hidden="1">1</definedName>
    <definedName name="ser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sfh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SG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sheet3" hidden="1">{"summary",#N/A,FALSE,"2000 vs 1999";"detail",#N/A,FALSE,"2000 vs 1999"}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yp" hidden="1">3</definedName>
    <definedName name="solver_val" hidden="1">0.6</definedName>
    <definedName name="sor" hidden="1">#REF!</definedName>
    <definedName name="ss" hidden="1">{#N/A,#N/A,TRUE,"summary";#N/A,#N/A,TRUE,"model";#N/A,#N/A,TRUE,"Consolidated P&amp;L Summary";#N/A,#N/A,TRUE,"Schwinn";#N/A,#N/A,TRUE,"G.T.";#N/A,#N/A,TRUE,"Hebb"}</definedName>
    <definedName name="sss" hidden="1">{"summary",#N/A,FALSE,"2000 vs 1999";"detail",#N/A,FALSE,"2000 vs 1999"}</definedName>
    <definedName name="staffing2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UMMARY_BOOK" hidden="1">{"page1",#N/A,FALSE,"GIRLBO";"page2",#N/A,FALSE,"GIRLBO";"page3",#N/A,FALSE,"GIRLBO";"page4",#N/A,FALSE,"GIRLBO";"page5",#N/A,FALSE,"GIRLBO"}</definedName>
    <definedName name="Temp_2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xtRefCopyRangeCount" hidden="1">4</definedName>
    <definedName name="tkudsh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tti" hidden="1">{"Omnipaque",#N/A,FALSE,"Omnipaque"}</definedName>
    <definedName name="u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U30_FSA" hidden="1">'[10]U1 P&amp;L'!#REF!</definedName>
    <definedName name="v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va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3cases." hidden="1">{#N/A,"Base",FALSE,"Dividend";#N/A,"Conservative",FALSE,"Dividend";#N/A,"Downside",FALSE,"Dividend"}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Allocations." hidden="1">{"Allocations",#N/A,FALSE,"JE01-2005"}</definedName>
    <definedName name="wrn.AOL._.Budget.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wrn.Åse." hidden="1">{#N/A,#N/A,TRUE,"Lindesnes_utprint"}</definedName>
    <definedName name="wrn.Auto._.Comp." hidden="1">{#N/A,#N/A,FALSE,"Sheet1"}</definedName>
    <definedName name="wrn.Basic._.Report." hidden="1">{#N/A,#N/A,FALSE,"New Depr Sch-150% DB";#N/A,#N/A,FALSE,"Cash Flows RLP";#N/A,#N/A,FALSE,"IRR";#N/A,#N/A,FALSE,"Proforma IS";#N/A,#N/A,FALSE,"Assumptions"}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nsolidated._.Only." hidden="1">{#N/A,#N/A,TRUE,"summary";#N/A,#N/A,TRUE,"model"}</definedName>
    <definedName name="wrn.Entire._.Model." hidden="1">{#N/A,#N/A,TRUE,"summary";#N/A,#N/A,TRUE,"model";#N/A,#N/A,TRUE,"Consolidated P&amp;L Summary";#N/A,#N/A,TRUE,"Schwinn";#N/A,#N/A,TRUE,"G.T.";#N/A,#N/A,TRUE,"Hebb"}</definedName>
    <definedName name="wrn.EX_Cover.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ull._.Model.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model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W._.Summary." hidden="1">{#N/A,#N/A,FALSE,"Summary";#N/A,#N/A,FALSE,"Instructions";#N/A,#N/A,FALSE,"Aero97 (Malaysia)";#N/A,#N/A,FALSE,"Caledonian";#N/A,#N/A,FALSE,"Celma";#N/A,#N/A,FALSE,"Dallas";#N/A,#N/A,FALSE,"Ontario";#N/A,#N/A,FALSE,"Strother";#N/A,#N/A,FALSE,"Varig";#N/A,#N/A,FALSE,"Wales";#N/A,#N/A,FALSE,"Xiamen";#N/A,#N/A,FALSE,"Delivery and Quality";#N/A,#N/A,FALSE,"Issue Resolution Process"}</definedName>
    <definedName name="wrn.FY97SBP." hidden="1">{#N/A,#N/A,FALSE,"FY97";#N/A,#N/A,FALSE,"FY98";#N/A,#N/A,FALSE,"FY99";#N/A,#N/A,FALSE,"FY00";#N/A,#N/A,FALSE,"FY01"}</definedName>
    <definedName name="wrn.Imagopaque." hidden="1">{"Imagopaque",#N/A,FALSE,"imagopaque"}</definedName>
    <definedName name="wrn.Isopaque." hidden="1">{"Isopaque",#N/A,FALSE,"Isopaque"}</definedName>
    <definedName name="wrn.MEMBER._.SERVICES._.ALL.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wrn.Monthly." hidden="1">{"Month End Performance",#N/A,FALSE,"Report";"Site Talk Times",#N/A,FALSE,"Report"}</definedName>
    <definedName name="wrn.Monthly._.MIFA._.Sheets." hidden="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Repory." hidden="1">{#N/A,#N/A,FALSE,"COVER";#N/A,#N/A,FALSE,"AGENDA";#N/A,#N/A,FALSE,"INCOME";#N/A,#N/A,FALSE,"AR";#N/A,#N/A,FALSE,"POS";#N/A,#N/A,FALSE,"SOURCESCHARGES";#N/A,#N/A,FALSE,"CHARGES";#N/A,#N/A,FALSE,"PROCEDURES";#N/A,#N/A,FALSE,"SOURCESCOLLECT";#N/A,#N/A,FALSE,"COLLECT";#N/A,#N/A,FALSE,"SOURCESADJ";#N/A,#N/A,FALSE,"ADJUST";#N/A,#N/A,FALSE,"GCR"}</definedName>
    <definedName name="wrn.Omnipaque." hidden="1">{"Omnipaque",#N/A,FALSE,"Omnipaque"}</definedName>
    <definedName name="wrn.Omniscan." hidden="1">{"Omniscan",#N/A,FALSE,"Omniscan"}</definedName>
    <definedName name="wrn.PARTNERSHIP." hidden="1">{#N/A,#N/A,FALSE,"BALANCE SHEET";#N/A,#N/A,FALSE,"PL ACCOUNT";#N/A,#N/A,FALSE,"FIXED ASSETS";#N/A,#N/A,FALSE,"HP (V)";#N/A,#N/A,FALSE,"TAX COMP";#N/A,#N/A,FALSE,"W&amp;T";#N/A,#N/A,FALSE,"RECONCILE"}</definedName>
    <definedName name="wrn.print." hidden="1">{#N/A,#N/A,FALSE,"Japan 2003";#N/A,#N/A,FALSE,"Sheet2"}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Quarterly._.MIFA._.Sheets." hidden="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report." hidden="1">{"summary",#N/A,FALSE,"2000 vs 1999";"detail",#N/A,FALSE,"2000 vs 1999"}</definedName>
    <definedName name="wrn.REPORT._.C." hidden="1">{#N/A,#N/A,TRUE,"Sch-5a";#N/A,#N/A,TRUE,"Sch-5b";#N/A,#N/A,TRUE,"Sch-5c";#N/A,#N/A,TRUE,"Sch-5d";#N/A,#N/A,TRUE,"Sch-6a";#N/A,#N/A,TRUE,"Sch-6b";#N/A,#N/A,TRUE,"Sch-6c";#N/A,#N/A,TRUE,"Sch-6d";#N/A,#N/A,TRUE,"Sch-6e"}</definedName>
    <definedName name="wrn.report.1" hidden="1">{"summary",#N/A,FALSE,"2000 vs 1999";"detail",#N/A,FALSE,"2000 vs 1999"}</definedName>
    <definedName name="wrn.report.2" hidden="1">{"summary",#N/A,FALSE,"2000 vs 1999";"detail",#N/A,FALSE,"2000 vs 1999"}</definedName>
    <definedName name="wrn.report.3" hidden="1">{"summary",#N/A,FALSE,"2000 vs 1999";"detail",#N/A,FALSE,"2000 vs 1999"}</definedName>
    <definedName name="wrn.report.4" hidden="1">{"summary",#N/A,FALSE,"2000 vs 1999";"detail",#N/A,FALSE,"2000 vs 1999"}</definedName>
    <definedName name="wrn.report.5" hidden="1">{"summary",#N/A,FALSE,"2000 vs 1999";"detail",#N/A,FALSE,"2000 vs 1999"}</definedName>
    <definedName name="wrn.report.6" hidden="1">{"summary",#N/A,FALSE,"2000 vs 1999";"detail",#N/A,FALSE,"2000 vs 1999"}</definedName>
    <definedName name="wrn.report.new" hidden="1">{"summary",#N/A,FALSE,"2000 vs 1999";"detail",#N/A,FALSE,"2000 vs 1999"}</definedName>
    <definedName name="wrn.report.new.1" hidden="1">{"summary",#N/A,FALSE,"2000 vs 1999";"detail",#N/A,FALSE,"2000 vs 1999"}</definedName>
    <definedName name="wrn.report.new.5" hidden="1">{"summary",#N/A,FALSE,"2000 vs 1999";"detail",#N/A,FALSE,"2000 vs 1999"}</definedName>
    <definedName name="wrn.report.new1" hidden="1">{"summary",#N/A,FALSE,"2000 vs 1999";"detail",#N/A,FALSE,"2000 vs 1999"}</definedName>
    <definedName name="wrn.report.new2" hidden="1">{"summary",#N/A,FALSE,"2000 vs 1999";"detail",#N/A,FALSE,"2000 vs 1999"}</definedName>
    <definedName name="wrn.report1" hidden="1">{"summary",#N/A,FALSE,"2000 vs 1999";"detail",#N/A,FALSE,"2000 vs 1999"}</definedName>
    <definedName name="wrn.RPCOE._.pitch." hidden="1">{#N/A,#N/A,FALSE,"Cover";#N/A,#N/A,FALSE,"Contents";#N/A,#N/A,FALSE,"Overview";#N/A,#N/A,FALSE,"Assumps";#N/A,#N/A,FALSE,"97 DAL hrs";#N/A,#N/A,FALSE,"97 heads";#N/A,#N/A,FALSE,"97 Expense";#N/A,#N/A,FALSE,"97 Exp prod";#N/A,#N/A,FALSE,"97 Rates";#N/A,#N/A,FALSE,"97 shop cost";#N/A,#N/A,FALSE,"98 DAL hrs";#N/A,#N/A,FALSE,"98 heads";#N/A,#N/A,FALSE,"98 Expense";#N/A,#N/A,FALSE,"98 Exp prod";#N/A,#N/A,FALSE,"98 Rates";#N/A,#N/A,FALSE,"98 shop cost";#N/A,#N/A,FALSE,"Issues";#N/A,#N/A,FALSE,"97 Inv related exp"}</definedName>
    <definedName name="wrn.SalesMarginPages." hidden="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corecard._.rpt." hidden="1">{"scorecard view",#N/A,FALSE,"Scorecard output"}</definedName>
    <definedName name="wrn.Staffing1" hidden="1">{#N/A,#N/A,FALSE,"Assessment";#N/A,#N/A,FALSE,"Staffing";#N/A,#N/A,FALSE,"Hires";#N/A,#N/A,FALSE,"Assumptions"}</definedName>
    <definedName name="wrn.Summary._.Report._.PPMC." hidden="1">{#N/A,#N/A,TRUE,"Ship Summary";#N/A,#N/A,TRUE,"Key Assumptions Sheet";#N/A,#N/A,TRUE,"Summary Demand";#N/A,#N/A,TRUE,"Summary Production Cork";#N/A,#N/A,TRUE,"Quarterly Demand Cork";#N/A,#N/A,TRUE,"Quarterly Production Cork"}</definedName>
    <definedName name="wrn.TAX._.COMPUTATION." hidden="1">{#N/A,#N/A,FALSE,"TAX COMPUTATION";#N/A,#N/A,FALSE,"TAX SCHEDULE";#N/A,#N/A,FALSE,"ADDITIONS";#N/A,#N/A,FALSE,"W &amp; T"}</definedName>
    <definedName name="wrn.TOP._.80." hidden="1">{#N/A,#N/A,FALSE,"CF34-DFT";#N/A,#N/A,FALSE,"FCMO";#N/A,#N/A,FALSE,"MEMO";#N/A,#N/A,FALSE,"RPMO";#N/A,#N/A,FALSE,"SPMO";#N/A,#N/A,FALSE,"TEPM";#N/A,#N/A,FALSE,"TPCE";#N/A,#N/A,FALSE,"TC64";#N/A,#N/A,FALSE,"TPMO"}</definedName>
    <definedName name="wrn.Total." hidden="1">{"Total",#N/A,FALSE,"Total"}</definedName>
    <definedName name="wrn.VA._.Departments._.by._.Month.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wrn.Visipaque." hidden="1">{"Visipaque",#N/A,FALSE,"Visipaque"}</definedName>
    <definedName name="www" hidden="1">#REF!</definedName>
    <definedName name="x" hidden="1">{#N/A,#N/A,FALSE,"FY97";#N/A,#N/A,FALSE,"FY98";#N/A,#N/A,FALSE,"FY99";#N/A,#N/A,FALSE,"FY00";#N/A,#N/A,FALSE,"FY01"}</definedName>
    <definedName name="XREF_COLUMN_1" hidden="1">[11]STATISTICS!#REF!</definedName>
    <definedName name="XREF_COLUMN_2" hidden="1">#REF!</definedName>
    <definedName name="XREF_COLUMN_3" hidden="1">#REF!</definedName>
    <definedName name="XREF_COLUMN_4" hidden="1">#REF!</definedName>
    <definedName name="XRefActiveRow" hidden="1">#REF!</definedName>
    <definedName name="XRefColumnsCount" hidden="1">4</definedName>
    <definedName name="XRefCopy1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RangeCount" hidden="1">8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RangeCount" hidden="1">2</definedName>
    <definedName name="xx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xxx" hidden="1">{"summary",#N/A,FALSE,"2000 vs 1999";"detail",#N/A,FALSE,"2000 vs 1999"}</definedName>
    <definedName name="xxxx" hidden="1">{"summary",#N/A,FALSE,"2000 vs 1999";"detail",#N/A,FALSE,"2000 vs 1999"}</definedName>
    <definedName name="ydfjs" hidden="1">{"Month End Performance",#N/A,FALSE,"Report";"Site Talk Times",#N/A,FALSE,"Report"}</definedName>
    <definedName name="yrnc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yrty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yytt" hidden="1">#REF!</definedName>
    <definedName name="Z_39BC5E81_0594_11D1_8C74_006097B34275_.wvu.FilterData" hidden="1">#REF!</definedName>
    <definedName name="Z_39BC5E82_0594_11D1_8C74_006097B34275_.wvu.FilterData" hidden="1">#REF!</definedName>
    <definedName name="Z_4B5573A2_25FD_11D1_8C74_006097B34275_.wvu.FilterData" hidden="1">#REF!</definedName>
    <definedName name="Z_4B5573A3_25FD_11D1_8C74_006097B34275_.wvu.FilterData" hidden="1">#REF!</definedName>
    <definedName name="Z_4C289101_0FD6_11D1_A510_006097B38048_.wvu.FilterData" hidden="1">#REF!</definedName>
    <definedName name="Z_4C854AA2_3991_11D1_8C74_006097B34275_.wvu.FilterData" hidden="1">#REF!</definedName>
    <definedName name="Z_4E9FC601_CB8F_11D0_8C74_006097B34275_.wvu.FilterData" hidden="1">#REF!</definedName>
    <definedName name="Z_6E0ADC42_F22D_11D0_8C74_006097B34275_.wvu.FilterData" hidden="1">#REF!</definedName>
    <definedName name="Z_7E0A45E1_0993_11D1_8C74_006097B34275_.wvu.FilterData" hidden="1">#REF!</definedName>
    <definedName name="Z_82212322_246D_11D1_8C74_006097B34275_.wvu.FilterData" hidden="1">#REF!</definedName>
    <definedName name="Z_B8175DE2_E97C_11D0_8C74_006097B34275_.wvu.FilterData" hidden="1">#REF!</definedName>
    <definedName name="Z_DCA8D884_2605_11D1_A510_006097B38048_.wvu.FilterData" hidden="1">#REF!</definedName>
    <definedName name="Z_E2699901_D040_11D0_A510_006097B38048_.wvu.FilterData" hidden="1">#REF!</definedName>
    <definedName name="Z_EC12CE8E_AAB2_495A_8753_9BF3288FF7A7_.wvu.Cols" hidden="1">#REF!,#REF!</definedName>
    <definedName name="Z_EC12CE8E_AAB2_495A_8753_9BF3288FF7A7_.wvu.PrintTitles" hidden="1">#REF!</definedName>
    <definedName name="za" hidden="1">{"Valuation - Letter",#N/A,TRUE,"Valuation Summary";"Financial Statements - Letter",#N/A,TRUE,"Results";"Results - Letter",#N/A,TRUE,"Results";"Ratios - Letter",#N/A,TRUE,"Results";"P2 Summary - Letter",#N/A,TRUE,"Results"}</definedName>
    <definedName name="zaa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zas" hidden="1">{#N/A,#N/A,TRUE,"Sch-5a";#N/A,#N/A,TRUE,"Sch-5b";#N/A,#N/A,TRUE,"Sch-5c";#N/A,#N/A,TRUE,"Sch-5d";#N/A,#N/A,TRUE,"Sch-6a";#N/A,#N/A,TRUE,"Sch-6b";#N/A,#N/A,TRUE,"Sch-6c";#N/A,#N/A,TRUE,"Sch-6d";#N/A,#N/A,TRUE,"Sch-6e"}</definedName>
    <definedName name="ZFGHFDF" hidden="1">#REF!</definedName>
    <definedName name="ZKJVAKJ" hidden="1">#REF!</definedName>
    <definedName name="zz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zzz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zzzz" hidden="1">{"Valuation",#N/A,TRUE,"Valuation Summary";"Financial Statements",#N/A,TRUE,"Results";"Results",#N/A,TRUE,"Results";"Ratios",#N/A,TRUE,"Results";"P2 Summary",#N/A,TRUE,"Results"}</definedName>
    <definedName name="몰라" hidden="1">'[12]주주명부&lt;끝&gt;'!$A$5:$A$14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1" l="1"/>
  <c r="G30" i="1"/>
  <c r="I29" i="1"/>
  <c r="G29" i="1"/>
  <c r="E29" i="1"/>
  <c r="I28" i="1"/>
  <c r="G28" i="1"/>
  <c r="I20" i="1"/>
  <c r="G20" i="1"/>
  <c r="E20" i="1"/>
  <c r="I12" i="1"/>
  <c r="G12" i="1"/>
  <c r="I11" i="1"/>
  <c r="G11" i="1"/>
  <c r="I8" i="1"/>
  <c r="G8" i="1"/>
  <c r="I7" i="1"/>
  <c r="G7" i="1"/>
  <c r="E25" i="1"/>
  <c r="E11" i="1"/>
  <c r="E7" i="1"/>
  <c r="E12" i="1" l="1"/>
  <c r="E8" i="1"/>
  <c r="E30" i="1" l="1"/>
  <c r="E28" i="1"/>
</calcChain>
</file>

<file path=xl/sharedStrings.xml><?xml version="1.0" encoding="utf-8"?>
<sst xmlns="http://schemas.openxmlformats.org/spreadsheetml/2006/main" count="32" uniqueCount="32">
  <si>
    <t>Webflix, Inc.</t>
  </si>
  <si>
    <t>(in USD thousands)</t>
  </si>
  <si>
    <t>12/31/2019A</t>
  </si>
  <si>
    <t>12/31/2020A</t>
  </si>
  <si>
    <t>12/31/2021A</t>
  </si>
  <si>
    <t>Income Statement Data:</t>
  </si>
  <si>
    <t>Revenue</t>
  </si>
  <si>
    <t>Cost of Revenues</t>
  </si>
  <si>
    <t>Gross Profit</t>
  </si>
  <si>
    <t>Gross Margin</t>
  </si>
  <si>
    <t>Operating Income</t>
  </si>
  <si>
    <t>Depreciation &amp; Amortization</t>
  </si>
  <si>
    <r>
      <t>EBITDA</t>
    </r>
    <r>
      <rPr>
        <vertAlign val="superscript"/>
        <sz val="10"/>
        <color theme="1"/>
        <rFont val="Arial"/>
        <family val="2"/>
      </rPr>
      <t>(1)</t>
    </r>
  </si>
  <si>
    <t>EBITDA Margin</t>
  </si>
  <si>
    <t>Balance Sheet Data:</t>
  </si>
  <si>
    <t>Cash</t>
  </si>
  <si>
    <t>Current Assets</t>
  </si>
  <si>
    <t>Total Assets</t>
  </si>
  <si>
    <t>Total Debt</t>
  </si>
  <si>
    <t>Shareholder's Equity</t>
  </si>
  <si>
    <t>Total Book Capitalization</t>
  </si>
  <si>
    <t>Cash Flow Statement Data:</t>
  </si>
  <si>
    <t>Cash Flow from Operating Activities</t>
  </si>
  <si>
    <t>Cash Flow from Investing Activities</t>
  </si>
  <si>
    <r>
      <t>Free Cash Flow</t>
    </r>
    <r>
      <rPr>
        <vertAlign val="superscript"/>
        <sz val="10"/>
        <color theme="1"/>
        <rFont val="Arial"/>
        <family val="2"/>
      </rPr>
      <t>(2)</t>
    </r>
  </si>
  <si>
    <t>Leverage Ratios:</t>
  </si>
  <si>
    <t>Total Debt / EBITDA</t>
  </si>
  <si>
    <t>Total Debt / Assets</t>
  </si>
  <si>
    <t>Total Debt / Book Capitalization</t>
  </si>
  <si>
    <t xml:space="preserve">1) For simplicity purposes, assume formula as operating income plus depreciation/amortization </t>
  </si>
  <si>
    <t xml:space="preserve">2) For simplicity purposes, assume operating income plus depreciation/amortization </t>
  </si>
  <si>
    <t>Non-GAAP reconciliation of free 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</si>
</sst>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yyyy\P"/>
    <numFmt numFmtId="165" formatCode="_(* #,##0_);_(* \(#,##0\);_(* &quot;-&quot;??_);_(@_)"/>
    <numFmt numFmtId="166" formatCode="&quot;$&quot;#,##0_);\(&quot;$&quot;#,##0\);&quot;$&quot;\-\-_)"/>
    <numFmt numFmtId="167" formatCode="#,##0_);\(#,##0\);\-\-_)"/>
    <numFmt numFmtId="168" formatCode="#,##0.0%_);\(#,##0.0%\);\-\-\%_."/>
    <numFmt numFmtId="169" formatCode="0.0\x"/>
    <numFmt numFmtId="170" formatCode="#,##0.0\x_);\(#,##0.0\x\);\-\-\x_)"/>
    <numFmt numFmtId="171" formatCode="0.0%;\(0.0%\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b/>
      <u val="singleAccounting"/>
      <sz val="10"/>
      <color theme="1"/>
      <name val="Arial"/>
      <family val="2"/>
    </font>
    <font>
      <vertAlign val="superscript"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0" borderId="0"/>
    <xf numFmtId="0" fontId="1" fillId="0" borderId="0"/>
  </cellStyleXfs>
  <cellXfs count="27">
    <xf numFmtId="0" fontId="0" fillId="0" borderId="0" xfId="0"/>
    <xf numFmtId="0" fontId="0" fillId="3" borderId="0" xfId="0" applyFill="1"/>
    <xf numFmtId="0" fontId="4" fillId="3" borderId="1" xfId="4" applyFont="1" applyFill="1" applyBorder="1"/>
    <xf numFmtId="0" fontId="3" fillId="3" borderId="1" xfId="3" applyFont="1" applyFill="1" applyBorder="1" applyAlignment="1"/>
    <xf numFmtId="0" fontId="5" fillId="3" borderId="0" xfId="0" applyFont="1" applyFill="1"/>
    <xf numFmtId="0" fontId="6" fillId="3" borderId="0" xfId="0" applyFont="1" applyFill="1"/>
    <xf numFmtId="0" fontId="7" fillId="3" borderId="0" xfId="0" applyFont="1" applyFill="1"/>
    <xf numFmtId="164" fontId="7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/>
    </xf>
    <xf numFmtId="165" fontId="5" fillId="3" borderId="0" xfId="1" applyNumberFormat="1" applyFont="1" applyFill="1" applyBorder="1"/>
    <xf numFmtId="166" fontId="5" fillId="3" borderId="0" xfId="1" applyNumberFormat="1" applyFont="1" applyFill="1" applyBorder="1"/>
    <xf numFmtId="166" fontId="5" fillId="3" borderId="0" xfId="0" applyNumberFormat="1" applyFont="1" applyFill="1"/>
    <xf numFmtId="167" fontId="5" fillId="3" borderId="0" xfId="1" applyNumberFormat="1" applyFont="1" applyFill="1" applyBorder="1"/>
    <xf numFmtId="167" fontId="5" fillId="3" borderId="0" xfId="0" applyNumberFormat="1" applyFont="1" applyFill="1"/>
    <xf numFmtId="168" fontId="5" fillId="3" borderId="0" xfId="2" applyNumberFormat="1" applyFont="1" applyFill="1" applyBorder="1"/>
    <xf numFmtId="167" fontId="5" fillId="0" borderId="0" xfId="1" applyNumberFormat="1" applyFont="1" applyFill="1" applyBorder="1"/>
    <xf numFmtId="0" fontId="5" fillId="0" borderId="0" xfId="0" applyFont="1"/>
    <xf numFmtId="167" fontId="3" fillId="3" borderId="0" xfId="1" applyNumberFormat="1" applyFont="1" applyFill="1" applyBorder="1"/>
    <xf numFmtId="167" fontId="5" fillId="3" borderId="0" xfId="1" applyNumberFormat="1" applyFont="1" applyFill="1" applyBorder="1" applyAlignment="1">
      <alignment horizontal="right"/>
    </xf>
    <xf numFmtId="167" fontId="3" fillId="0" borderId="0" xfId="1" applyNumberFormat="1" applyFont="1" applyFill="1" applyBorder="1"/>
    <xf numFmtId="0" fontId="7" fillId="4" borderId="0" xfId="0" applyFont="1" applyFill="1"/>
    <xf numFmtId="0" fontId="5" fillId="4" borderId="0" xfId="0" applyFont="1" applyFill="1"/>
    <xf numFmtId="165" fontId="5" fillId="4" borderId="0" xfId="1" applyNumberFormat="1" applyFont="1" applyFill="1" applyBorder="1"/>
    <xf numFmtId="169" fontId="5" fillId="4" borderId="0" xfId="1" applyNumberFormat="1" applyFont="1" applyFill="1" applyBorder="1" applyAlignment="1">
      <alignment horizontal="right"/>
    </xf>
    <xf numFmtId="170" fontId="5" fillId="4" borderId="0" xfId="1" applyNumberFormat="1" applyFont="1" applyFill="1" applyBorder="1" applyAlignment="1">
      <alignment horizontal="right"/>
    </xf>
    <xf numFmtId="171" fontId="5" fillId="4" borderId="0" xfId="2" applyNumberFormat="1" applyFont="1" applyFill="1" applyBorder="1" applyAlignment="1">
      <alignment horizontal="right"/>
    </xf>
    <xf numFmtId="168" fontId="5" fillId="4" borderId="0" xfId="2" applyNumberFormat="1" applyFont="1" applyFill="1" applyBorder="1" applyAlignment="1">
      <alignment horizontal="right"/>
    </xf>
  </cellXfs>
  <cellStyles count="6">
    <cellStyle name="Accent2" xfId="3" builtinId="33"/>
    <cellStyle name="Comma" xfId="1" builtinId="3"/>
    <cellStyle name="Normal" xfId="0" builtinId="0"/>
    <cellStyle name="Normal 12" xfId="4" xr:uid="{0B5383EB-0321-46A1-BF72-61C1F298651C}"/>
    <cellStyle name="Normal 2 2" xfId="5" xr:uid="{494F05C8-5E60-426D-8886-CAAEB5DB166B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AABS1819/aws/Engagements/Tetra%20Pak%20Equipment%20and%20Logistics%20Asia%20Pte%20Ltd/Tetra%20Pak%20Equipment%20and%20Logistics%20Asia%20Pte%20Ltd/Documents/Documents%20and%20Settings/AABSUser/My%20Documents/Fixed%20assets%20register.xls" TargetMode="External"/><Relationship Id="rId2" Type="http://schemas.microsoft.com/office/2019/04/relationships/externalLinkLongPath" Target="/AABS1819/aws/Engagements/Tetra%20Pak%20Equipment%20and%20Logistics%20Asia%20Pte%20Ltd/Tetra%20Pak%20Equipment%20and%20Logistics%20Asia%20Pte%20Ltd/Documents/Documents%20and%20Settings/AABSUser/My%20Documents/Fixed%20assets%20register.xls?D4130CE3" TargetMode="External"/><Relationship Id="rId1" Type="http://schemas.openxmlformats.org/officeDocument/2006/relationships/externalLinkPath" Target="file:///\\D4130CE3\Fixed%20assets%20registe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Users\SUZETTE\033104%20Projections%20Adjusted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GCC/SYS2/DEPT/FIN-GAT/MGT/MISC/00-01/RACC0600.XLS" TargetMode="External"/><Relationship Id="rId1" Type="http://schemas.openxmlformats.org/officeDocument/2006/relationships/externalLinkPath" Target="/GCC/SYS2/DEPT/FIN-GAT/MGT/MISC/00-01/RACC0600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focalpoint.local/fs/Users/zeny/AppData/Local/Microsoft/Windows/Temporary%20Internet%20Files/Content.Outlook/HG8GB908/Project%20Faulkner%20Valuation%20v8.xls" TargetMode="External"/><Relationship Id="rId1" Type="http://schemas.openxmlformats.org/officeDocument/2006/relationships/externalLinkPath" Target="/focalpoint.local/fs/Users/zeny/AppData/Local/Microsoft/Windows/Temporary%20Internet%20Files/Content.Outlook/HG8GB908/Project%20Faulkner%20Valuation%20v8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focalpoint.local/fs/Clients/TRITON/99prov/99prov/TCILINDX.XLS" TargetMode="External"/><Relationship Id="rId1" Type="http://schemas.openxmlformats.org/officeDocument/2006/relationships/externalLinkPath" Target="/focalpoint.local/fs/Clients/TRITON/99prov/99prov/TCILINDX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wongst\Desktop\Autron\Autron%20Corp%20PL\Documents%20and%20Settings\wongst\Desktop\BMC\BMC%2031%20March%202002\BMC%20HK\From%20Client\FY02%20HK%20Fixed%20Asset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focalpoint.local/fs/Public/Bloomberg/Res%20REIT%20Comps%20-%20DW%20IMH.xls" TargetMode="External"/><Relationship Id="rId1" Type="http://schemas.openxmlformats.org/officeDocument/2006/relationships/externalLinkPath" Target="/focalpoint.local/fs/Public/Bloomberg/Res%20REIT%20Comps%20-%20DW%20IMH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focalpoint.local/fs/Users/zeny/AppData/Local/Microsoft/Windows/Temporary%20Internet%20Files/Content.Outlook/HG8GB908/HFA%20Invoices%202014/PPS%20Valuation%20v01.xlsx" TargetMode="External"/><Relationship Id="rId1" Type="http://schemas.openxmlformats.org/officeDocument/2006/relationships/externalLinkPath" Target="/focalpoint.local/fs/Users/zeny/AppData/Local/Microsoft/Windows/Temporary%20Internet%20Files/Content.Outlook/HG8GB908/HFA%20Invoices%202014/PPS%20Valuation%20v01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Month%20End%20Close\FY15\09%20-%2015%20March\AVS%20ESBOOKS%20US%20(MG)%20-%20US%20License%20Revenue%20%2009-15%20(sent%20to%20Actg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ata\Lead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330%20Allowance%20for%20Doubtful%20Accounts%20Testing%20-%20C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1&#44221;&#47532;&#44284;\02_&#50504;&#50689;&#44540;\97&#44208;&#49328;&#48372;&#44256;&#49436;2&#4442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Freezers"/>
      <sheetName val="Mach &amp; equip"/>
      <sheetName val="Building"/>
      <sheetName val="Comp equip"/>
      <sheetName val="FFE"/>
      <sheetName val="MV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 Statement"/>
      <sheetName val="Assumptions"/>
      <sheetName val="Adjusted Income Statement "/>
      <sheetName val="Adjusted Income Statement A"/>
      <sheetName val="Adjusted Income Statement  B"/>
      <sheetName val="Income Statement-B"/>
      <sheetName val="Gross Margin"/>
      <sheetName val="Sales"/>
      <sheetName val="NPBT04"/>
      <sheetName val="NY Forc 04"/>
      <sheetName val="GA Forc 04"/>
      <sheetName val="COGS"/>
      <sheetName val="SELLING"/>
      <sheetName val="G &amp; A"/>
      <sheetName val="Interest Expense"/>
      <sheetName val="LJ Melody Amort 33103"/>
      <sheetName val="Depreciation"/>
      <sheetName val="Escrow Payme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ACC0600 "/>
      <sheetName val="RACC0300 "/>
      <sheetName val="RACC0200 R"/>
      <sheetName val="RACC0100"/>
    </sheetNames>
    <sheetDataSet>
      <sheetData sheetId="0"/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IS Valuation"/>
      <sheetName val="Overview of Faulkner Valuat (2)"/>
      <sheetName val="Project Faulkner Valuation"/>
      <sheetName val="Comparison of Assumptions"/>
      <sheetName val="Overview of Faulkner Valuation"/>
      <sheetName val="Overview of Disney Valuation"/>
      <sheetName val="Overview of Disney Valuatio (2)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D"/>
      <sheetName val="ECI"/>
    </sheetNames>
    <sheetDataSet>
      <sheetData sheetId="0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Mar-02"/>
      <sheetName val="Feb-02"/>
      <sheetName val="Jan-02"/>
      <sheetName val="Dec-01"/>
      <sheetName val="Nov-01"/>
      <sheetName val="Oct-01"/>
      <sheetName val="Sep-01"/>
      <sheetName val="Aug-01"/>
      <sheetName val="Jul-01"/>
      <sheetName val="Jun-01"/>
      <sheetName val="May-01"/>
      <sheetName val="Apr-01"/>
      <sheetName val="FF-2"/>
      <sheetName val="price"/>
      <sheetName val="P&amp;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ivateStockValAddinData"/>
      <sheetName val="Sheet1"/>
      <sheetName val="Bloomberg Input"/>
      <sheetName val="Bloomberg and Stock Val"/>
      <sheetName val="Book Valu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OTP Comps"/>
      <sheetName val="White Sox Valuation&gt;&gt;"/>
      <sheetName val="White Sox Fin Input"/>
      <sheetName val="White Sox Fin"/>
      <sheetName val="White Sox DCF"/>
      <sheetName val="White Sox SOTP"/>
      <sheetName val="White Sox Football Field"/>
      <sheetName val="Phillies Valuation&gt;&gt;"/>
      <sheetName val="Phillies Fin"/>
      <sheetName val="Phillies Fin Mgmt Raw"/>
      <sheetName val="Phillies DCF"/>
      <sheetName val="PPL DCF (2)"/>
      <sheetName val="Phillies SOTP"/>
      <sheetName val="Phillies Football Field"/>
      <sheetName val="PPL Football Field (2)"/>
      <sheetName val="Padres Valuation&gt;&gt;"/>
      <sheetName val="Padres Fin Mgmt Raw"/>
      <sheetName val="Padres Fin Input"/>
      <sheetName val="Padres Fin"/>
      <sheetName val="Padres Fin (CMC)"/>
      <sheetName val="Padres DCF"/>
      <sheetName val="PPS DCF (2)"/>
      <sheetName val="Padres DCF (CMC)"/>
      <sheetName val="Padres SOTP"/>
      <sheetName val="Padres SOTP (CMC)"/>
      <sheetName val="Padres Football Field"/>
      <sheetName val="PPS Football Field (2)"/>
      <sheetName val="Padres Football Field (CMC)"/>
      <sheetName val="Indians Valuation&gt;&gt;"/>
      <sheetName val="Indians Fin Input"/>
      <sheetName val="Indians Fin"/>
      <sheetName val="Indians DCF - 120425"/>
      <sheetName val="Indians DCF"/>
      <sheetName val="Indians SOTP"/>
      <sheetName val="Indians Football Field"/>
      <sheetName val="iQiyi Football Field-old"/>
      <sheetName val="Metrics"/>
      <sheetName val="Current Comps"/>
      <sheetName val="Pre Yankees Deal Comps"/>
      <sheetName val="1vs2"/>
      <sheetName val="PP vs YT"/>
      <sheetName val="PP vs YT (CMC)"/>
      <sheetName val="iResearch Data"/>
      <sheetName val="Bars"/>
      <sheetName val="Combination&gt;&gt;"/>
      <sheetName val="Analysis"/>
      <sheetName val="Analysis (CMC)"/>
      <sheetName val="PPTV+PPS"/>
      <sheetName val="PPTV+PPS (2)"/>
      <sheetName val="iQiyi+PPS"/>
      <sheetName val="PPTV+PPS+iQiyi"/>
      <sheetName val="PPTV+PPS+iQiyi (CMC)"/>
      <sheetName val="_CIQHiddenCacheSheet"/>
      <sheetName val="Content Cost Synergy"/>
      <sheetName val="GP Analysis"/>
      <sheetName val="PPTV+PPS+iQiyi (2)"/>
      <sheetName val="Pie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pCache"/>
      <sheetName val="BneWorkBookProperties"/>
      <sheetName val="JE"/>
      <sheetName val="Rev Schedule "/>
      <sheetName val="Rev Schedule"/>
      <sheetName val="OTC Processed"/>
      <sheetName val="Current GL"/>
      <sheetName val="It Balances!"/>
      <sheetName val="Old Revenue Data"/>
      <sheetName val="Sheet2"/>
      <sheetName val="Sheet1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1 Trade debtors"/>
      <sheetName val="E2.1 Debtors ageing"/>
      <sheetName val="G1 Other debtors"/>
      <sheetName val="I1 Interco"/>
      <sheetName val="N1 Other creditors"/>
      <sheetName val="N2 Provision for audit fees"/>
      <sheetName val="N3 Provision for commission"/>
      <sheetName val="O1 Tax Lead Schedule"/>
      <sheetName val="T1 Share capital"/>
      <sheetName val="T2 Revenue reserve"/>
      <sheetName val="U Memo"/>
      <sheetName val="U1 P&amp;L"/>
      <sheetName val="U3 Payroll"/>
      <sheetName val="U4 CPF reasonableness test"/>
      <sheetName val="U1 P_L"/>
      <sheetName val="JobDetails"/>
      <sheetName val="Drop List References"/>
      <sheetName val="U1101"/>
      <sheetName val="Wholesale V"/>
      <sheetName val="K2 Depreciation test"/>
      <sheetName val="Renovation"/>
      <sheetName val="AR JAN'02"/>
      <sheetName val="Comp equip"/>
      <sheetName val="FFE"/>
      <sheetName val="U1.6"/>
      <sheetName val="1030002 A"/>
      <sheetName val="1030004 A"/>
      <sheetName val="1030006 A"/>
      <sheetName val="Cust"/>
      <sheetName val="U1.1 - detailed P&amp;L"/>
      <sheetName val="U1 - Lead"/>
      <sheetName val="U7 - AAFES ex fee-reasonable"/>
      <sheetName val="Build"/>
      <sheetName val="MV"/>
      <sheetName val="Freezers"/>
      <sheetName val="I101 - AR"/>
      <sheetName val="I102 - AP"/>
      <sheetName val="E161500,161570"/>
      <sheetName val="Taux"/>
      <sheetName val="TOTALSHOPS"/>
      <sheetName val="sapactivexlhiddensheet"/>
      <sheetName val="IBA&amp;HP"/>
      <sheetName val="N301"/>
      <sheetName val="Main"/>
      <sheetName val="source"/>
      <sheetName val="UB-20"/>
      <sheetName val="S201"/>
      <sheetName val="Required"/>
      <sheetName val="DEPN 2001"/>
      <sheetName val="Deferrred Revenue Apr 04"/>
      <sheetName val="DAILY BANK"/>
      <sheetName val="FF-13"/>
      <sheetName val="FF-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ement PBC CY"/>
      <sheetName val="Movement PBC PY"/>
      <sheetName val="STATISTICS"/>
      <sheetName val="ANALYSIS"/>
      <sheetName val="WRITEOFF'S TEST"/>
      <sheetName val="Tickmarks"/>
      <sheetName val="modRollFWD"/>
      <sheetName val="Worksheet in 5330 Allowance for"/>
      <sheetName val="Date Input"/>
      <sheetName val="1098 loc"/>
      <sheetName val="Adjusting Journal Entries"/>
      <sheetName val="Amortization Schedules"/>
      <sheetName val="Forecast Booking Units"/>
      <sheetName val="261"/>
      <sheetName val="Switch"/>
      <sheetName val="Tables"/>
      <sheetName val="Model"/>
      <sheetName val="MM"/>
      <sheetName val="Current Cap Table"/>
      <sheetName val="Sheet2"/>
      <sheetName val="Week"/>
      <sheetName val="AE_Lookup"/>
      <sheetName val="OA_Lookup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외상매입금"/>
      <sheetName val="관계외상매입"/>
      <sheetName val="지급어음"/>
      <sheetName val="단기차입금"/>
      <sheetName val="미지급금"/>
      <sheetName val="어음미지급"/>
      <sheetName val="선수금"/>
      <sheetName val="예수금"/>
      <sheetName val="미지급비용"/>
      <sheetName val="장기차입금"/>
      <sheetName val="금융리스"/>
      <sheetName val="충당금"/>
      <sheetName val="매출액"/>
      <sheetName val="제조원가"/>
      <sheetName val="용역원가"/>
      <sheetName val="감가상각비"/>
      <sheetName val="영업외수익"/>
      <sheetName val="영업외비용"/>
      <sheetName val="고정자산처분"/>
      <sheetName val="자본금"/>
      <sheetName val="부동산"/>
      <sheetName val="이사회결의서"/>
      <sheetName val="감사의견서"/>
      <sheetName val="주주명부&lt;끝&gt;"/>
      <sheetName val="Adm97"/>
      <sheetName val="Input"/>
      <sheetName val="1.SUMMARY TB"/>
      <sheetName val="LCGRAPH"/>
      <sheetName val="Cognos Extract"/>
      <sheetName val="Core Data"/>
      <sheetName val="Stock Chart"/>
      <sheetName val="Control"/>
      <sheetName val="prdty"/>
      <sheetName val="DSO"/>
      <sheetName val="flashhistory"/>
      <sheetName val="IOPlan"/>
      <sheetName val="GlobalSAndIByPole"/>
      <sheetName val="R&amp;D"/>
      <sheetName val=" BC SUMMARY 2002"/>
      <sheetName val="97결산보고서2권"/>
      <sheetName val="Lists"/>
      <sheetName val="PF"/>
      <sheetName val="List Sheet"/>
      <sheetName val="Data_Coro"/>
      <sheetName val="Fiscal calendar"/>
      <sheetName val="DR95CFA '01"/>
      <sheetName val="5-Final Variable Table"/>
      <sheetName val="COST OF GOODS PROD.ETC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820FC-1598-4AEE-AAE0-AB2B1984D534}">
  <sheetPr>
    <tabColor theme="1"/>
    <pageSetUpPr fitToPage="1"/>
  </sheetPr>
  <dimension ref="A1:J35"/>
  <sheetViews>
    <sheetView showGridLines="0" tabSelected="1" view="pageBreakPreview" zoomScale="85" zoomScaleNormal="100" zoomScaleSheetLayoutView="85" workbookViewId="0">
      <selection activeCell="I31" sqref="I31"/>
    </sheetView>
  </sheetViews>
  <sheetFormatPr defaultColWidth="9.140625" defaultRowHeight="15" outlineLevelRow="1"/>
  <cols>
    <col min="1" max="1" width="3.7109375" style="1" customWidth="1"/>
    <col min="2" max="2" width="2.140625" style="1" customWidth="1"/>
    <col min="3" max="3" width="43.7109375" style="1" bestFit="1" customWidth="1"/>
    <col min="4" max="4" width="1.7109375" style="1" customWidth="1"/>
    <col min="5" max="5" width="20.7109375" style="1" customWidth="1"/>
    <col min="6" max="6" width="1.7109375" style="1" customWidth="1"/>
    <col min="7" max="7" width="20.7109375" style="1" customWidth="1"/>
    <col min="8" max="8" width="1.7109375" style="1" customWidth="1"/>
    <col min="9" max="9" width="20.7109375" style="1" customWidth="1"/>
    <col min="10" max="10" width="1.7109375" customWidth="1"/>
    <col min="11" max="11" width="3.7109375" customWidth="1"/>
  </cols>
  <sheetData>
    <row r="1" spans="1:10" ht="15.95" thickBot="1">
      <c r="A1" s="2" t="s">
        <v>0</v>
      </c>
      <c r="B1" s="2"/>
      <c r="C1" s="3"/>
      <c r="D1" s="3"/>
      <c r="E1" s="3"/>
      <c r="F1" s="3"/>
      <c r="G1" s="3"/>
      <c r="H1" s="3"/>
      <c r="I1" s="3"/>
      <c r="J1" s="16"/>
    </row>
    <row r="2" spans="1:10">
      <c r="A2" s="5" t="s">
        <v>1</v>
      </c>
      <c r="B2" s="4"/>
      <c r="C2" s="4"/>
      <c r="D2" s="4"/>
      <c r="E2" s="4"/>
      <c r="F2" s="4"/>
      <c r="G2" s="4"/>
      <c r="H2" s="4"/>
      <c r="I2" s="4"/>
      <c r="J2" s="16"/>
    </row>
    <row r="3" spans="1:10" ht="17.100000000000001">
      <c r="A3" s="6"/>
      <c r="B3" s="5"/>
      <c r="C3" s="6"/>
      <c r="D3" s="7"/>
      <c r="E3" s="8" t="s">
        <v>2</v>
      </c>
      <c r="F3" s="8"/>
      <c r="G3" s="8" t="s">
        <v>3</v>
      </c>
      <c r="H3" s="7"/>
      <c r="I3" s="8" t="s">
        <v>4</v>
      </c>
      <c r="J3" s="16"/>
    </row>
    <row r="4" spans="1:10" ht="15" customHeight="1">
      <c r="A4" s="4"/>
      <c r="B4" s="6" t="s">
        <v>5</v>
      </c>
      <c r="C4" s="4"/>
      <c r="D4" s="4"/>
      <c r="E4" s="9"/>
      <c r="F4" s="9"/>
      <c r="G4" s="9"/>
      <c r="H4" s="4"/>
      <c r="I4" s="9"/>
      <c r="J4" s="16"/>
    </row>
    <row r="5" spans="1:10" ht="15" customHeight="1">
      <c r="A5" s="4"/>
      <c r="B5" s="4"/>
      <c r="C5" s="4" t="s">
        <v>6</v>
      </c>
      <c r="D5" s="4"/>
      <c r="E5" s="10">
        <v>20156447</v>
      </c>
      <c r="F5" s="10"/>
      <c r="G5" s="10">
        <v>24996056</v>
      </c>
      <c r="H5" s="11"/>
      <c r="I5" s="10">
        <v>29697844</v>
      </c>
      <c r="J5" s="16"/>
    </row>
    <row r="6" spans="1:10" ht="15" customHeight="1" outlineLevel="1">
      <c r="A6" s="4"/>
      <c r="B6" s="4"/>
      <c r="C6" s="4" t="s">
        <v>7</v>
      </c>
      <c r="D6" s="4"/>
      <c r="E6" s="10">
        <v>12440213</v>
      </c>
      <c r="F6" s="10"/>
      <c r="G6" s="10">
        <v>15276319</v>
      </c>
      <c r="H6" s="11"/>
      <c r="I6" s="10">
        <v>17332683</v>
      </c>
      <c r="J6" s="16"/>
    </row>
    <row r="7" spans="1:10" ht="15" customHeight="1">
      <c r="A7" s="4"/>
      <c r="B7" s="4"/>
      <c r="C7" s="4" t="s">
        <v>8</v>
      </c>
      <c r="D7" s="4"/>
      <c r="E7" s="12">
        <f>E5-E6</f>
        <v>7716234</v>
      </c>
      <c r="F7" s="12"/>
      <c r="G7" s="12">
        <f>G5-G6</f>
        <v>9719737</v>
      </c>
      <c r="H7" s="13"/>
      <c r="I7" s="12">
        <f>I5-I6</f>
        <v>12365161</v>
      </c>
      <c r="J7" s="16"/>
    </row>
    <row r="8" spans="1:10" ht="15" customHeight="1">
      <c r="A8" s="4"/>
      <c r="B8" s="4"/>
      <c r="C8" s="4" t="s">
        <v>9</v>
      </c>
      <c r="D8" s="4"/>
      <c r="E8" s="14">
        <f>E7/E5</f>
        <v>0.38281717010939476</v>
      </c>
      <c r="F8" s="14"/>
      <c r="G8" s="14">
        <f>G7/G5</f>
        <v>0.38885082510616875</v>
      </c>
      <c r="H8" s="14"/>
      <c r="I8" s="14">
        <f>I7/I5</f>
        <v>0.41636561226464791</v>
      </c>
      <c r="J8" s="16"/>
    </row>
    <row r="9" spans="1:10" ht="15" customHeight="1" outlineLevel="1">
      <c r="A9" s="4"/>
      <c r="B9" s="4"/>
      <c r="C9" s="4" t="s">
        <v>10</v>
      </c>
      <c r="D9" s="4"/>
      <c r="E9" s="12">
        <v>2604254</v>
      </c>
      <c r="F9" s="12"/>
      <c r="G9" s="12">
        <v>4585289</v>
      </c>
      <c r="H9" s="12"/>
      <c r="I9" s="12">
        <v>6194509</v>
      </c>
      <c r="J9" s="16"/>
    </row>
    <row r="10" spans="1:10" ht="15" customHeight="1" outlineLevel="1">
      <c r="A10" s="4"/>
      <c r="B10" s="4"/>
      <c r="C10" s="4" t="s">
        <v>11</v>
      </c>
      <c r="D10" s="4"/>
      <c r="E10" s="12">
        <v>103579</v>
      </c>
      <c r="F10" s="12"/>
      <c r="G10" s="12">
        <v>115710</v>
      </c>
      <c r="H10" s="12"/>
      <c r="I10" s="12">
        <v>208412</v>
      </c>
      <c r="J10" s="16"/>
    </row>
    <row r="11" spans="1:10" ht="15" customHeight="1">
      <c r="A11" s="4"/>
      <c r="B11" s="4"/>
      <c r="C11" s="4" t="s">
        <v>12</v>
      </c>
      <c r="D11" s="4"/>
      <c r="E11" s="12">
        <f>E9+E10</f>
        <v>2707833</v>
      </c>
      <c r="F11" s="12"/>
      <c r="G11" s="12">
        <f>G9+G10</f>
        <v>4700999</v>
      </c>
      <c r="H11" s="13"/>
      <c r="I11" s="12">
        <f>I9+I10</f>
        <v>6402921</v>
      </c>
      <c r="J11" s="16"/>
    </row>
    <row r="12" spans="1:10" ht="15" customHeight="1">
      <c r="A12" s="4"/>
      <c r="B12" s="4"/>
      <c r="C12" s="4" t="s">
        <v>13</v>
      </c>
      <c r="D12" s="4"/>
      <c r="E12" s="14">
        <f>E11/E5</f>
        <v>0.13434078932661098</v>
      </c>
      <c r="F12" s="14"/>
      <c r="G12" s="14">
        <f>E11/E5</f>
        <v>0.13434078932661098</v>
      </c>
      <c r="H12" s="14"/>
      <c r="I12" s="14">
        <f>I11/I5</f>
        <v>0.21560221678045047</v>
      </c>
      <c r="J12" s="16"/>
    </row>
    <row r="13" spans="1:10" ht="8.1" customHeight="1">
      <c r="A13" s="4"/>
      <c r="B13" s="4"/>
      <c r="C13" s="4"/>
      <c r="D13" s="4"/>
      <c r="E13" s="9"/>
      <c r="F13" s="9"/>
      <c r="G13" s="9"/>
      <c r="H13" s="4"/>
      <c r="I13" s="9"/>
      <c r="J13" s="16"/>
    </row>
    <row r="14" spans="1:10" ht="15" customHeight="1">
      <c r="A14" s="4"/>
      <c r="B14" s="6" t="s">
        <v>14</v>
      </c>
      <c r="C14" s="4"/>
      <c r="D14" s="4"/>
      <c r="E14" s="9"/>
      <c r="F14" s="9"/>
      <c r="G14" s="9"/>
      <c r="H14" s="4"/>
      <c r="I14" s="9"/>
      <c r="J14" s="16"/>
    </row>
    <row r="15" spans="1:10" ht="15" customHeight="1">
      <c r="A15" s="4"/>
      <c r="B15" s="4"/>
      <c r="C15" s="4" t="s">
        <v>15</v>
      </c>
      <c r="D15" s="4"/>
      <c r="E15" s="12">
        <v>5018437</v>
      </c>
      <c r="F15" s="12"/>
      <c r="G15" s="12">
        <v>6027804</v>
      </c>
      <c r="H15" s="13"/>
      <c r="I15" s="12">
        <v>8205550</v>
      </c>
      <c r="J15" s="16"/>
    </row>
    <row r="16" spans="1:10" ht="15" customHeight="1">
      <c r="A16" s="4"/>
      <c r="B16" s="4"/>
      <c r="C16" s="4" t="s">
        <v>16</v>
      </c>
      <c r="D16" s="4"/>
      <c r="E16" s="15">
        <v>6178504</v>
      </c>
      <c r="F16" s="16"/>
      <c r="G16" s="15">
        <v>9761580</v>
      </c>
      <c r="H16" s="13"/>
      <c r="I16" s="12">
        <v>8069825</v>
      </c>
      <c r="J16" s="16"/>
    </row>
    <row r="17" spans="1:10" ht="15" customHeight="1">
      <c r="A17" s="4"/>
      <c r="B17" s="4"/>
      <c r="C17" s="4" t="s">
        <v>17</v>
      </c>
      <c r="D17" s="4"/>
      <c r="E17" s="12">
        <v>33975712</v>
      </c>
      <c r="F17" s="12"/>
      <c r="G17" s="12">
        <v>39280359</v>
      </c>
      <c r="H17" s="13"/>
      <c r="I17" s="12">
        <v>44584663</v>
      </c>
      <c r="J17" s="16"/>
    </row>
    <row r="18" spans="1:10" ht="15" customHeight="1">
      <c r="A18" s="4"/>
      <c r="B18" s="4"/>
      <c r="C18" s="4" t="s">
        <v>18</v>
      </c>
      <c r="D18" s="4"/>
      <c r="E18" s="12">
        <v>14759260</v>
      </c>
      <c r="F18" s="12"/>
      <c r="G18" s="12">
        <v>16308973</v>
      </c>
      <c r="H18" s="12"/>
      <c r="I18" s="12">
        <v>15392895</v>
      </c>
      <c r="J18" s="16"/>
    </row>
    <row r="19" spans="1:10" ht="15" customHeight="1">
      <c r="A19" s="16"/>
      <c r="B19" s="16"/>
      <c r="C19" s="16" t="s">
        <v>19</v>
      </c>
      <c r="D19" s="16"/>
      <c r="E19" s="12">
        <v>7582157</v>
      </c>
      <c r="F19" s="12"/>
      <c r="G19" s="12">
        <v>11065240</v>
      </c>
      <c r="H19" s="13"/>
      <c r="I19" s="12">
        <v>15849248</v>
      </c>
      <c r="J19" s="16"/>
    </row>
    <row r="20" spans="1:10" ht="15" customHeight="1">
      <c r="A20" s="4"/>
      <c r="B20" s="4"/>
      <c r="C20" s="4" t="s">
        <v>20</v>
      </c>
      <c r="D20" s="4"/>
      <c r="E20" s="12">
        <f>E18+E19</f>
        <v>22341417</v>
      </c>
      <c r="F20" s="12"/>
      <c r="G20" s="12">
        <f>G18+G19</f>
        <v>27374213</v>
      </c>
      <c r="H20" s="13"/>
      <c r="I20" s="12">
        <f>I18+I19</f>
        <v>31242143</v>
      </c>
      <c r="J20" s="16"/>
    </row>
    <row r="21" spans="1:10" ht="8.1" customHeight="1">
      <c r="A21" s="4"/>
      <c r="B21" s="4"/>
      <c r="C21" s="4"/>
      <c r="D21" s="4"/>
      <c r="E21" s="9"/>
      <c r="F21" s="9"/>
      <c r="G21" s="9"/>
      <c r="H21" s="4"/>
      <c r="I21" s="9"/>
      <c r="J21" s="16"/>
    </row>
    <row r="22" spans="1:10" ht="15" customHeight="1">
      <c r="A22" s="4"/>
      <c r="B22" s="6" t="s">
        <v>21</v>
      </c>
      <c r="C22" s="4"/>
      <c r="D22" s="4"/>
      <c r="E22" s="9"/>
      <c r="F22" s="9"/>
      <c r="G22" s="9"/>
      <c r="H22" s="4"/>
      <c r="I22" s="9"/>
      <c r="J22" s="16"/>
    </row>
    <row r="23" spans="1:10" ht="15" customHeight="1">
      <c r="A23" s="4"/>
      <c r="B23" s="4"/>
      <c r="C23" s="4" t="s">
        <v>22</v>
      </c>
      <c r="D23" s="4"/>
      <c r="E23" s="17">
        <v>-2887322</v>
      </c>
      <c r="F23" s="18"/>
      <c r="G23" s="18">
        <v>2427077</v>
      </c>
      <c r="H23" s="13"/>
      <c r="I23" s="12">
        <v>392610</v>
      </c>
      <c r="J23" s="16"/>
    </row>
    <row r="24" spans="1:10" ht="15" customHeight="1">
      <c r="A24" s="4"/>
      <c r="B24" s="4"/>
      <c r="C24" s="4" t="s">
        <v>23</v>
      </c>
      <c r="D24" s="9"/>
      <c r="E24" s="17">
        <v>-387064</v>
      </c>
      <c r="F24" s="17"/>
      <c r="G24" s="18">
        <v>-505354</v>
      </c>
      <c r="H24" s="13"/>
      <c r="I24" s="12">
        <v>-1339853</v>
      </c>
      <c r="J24" s="16"/>
    </row>
    <row r="25" spans="1:10" ht="15" customHeight="1">
      <c r="A25" s="4"/>
      <c r="B25" s="4"/>
      <c r="C25" s="4" t="s">
        <v>24</v>
      </c>
      <c r="D25" s="4"/>
      <c r="E25" s="19">
        <f>SUM(E23:E24)</f>
        <v>-3274386</v>
      </c>
      <c r="F25" s="19"/>
      <c r="G25" s="19">
        <v>1921723</v>
      </c>
      <c r="H25" s="19"/>
      <c r="I25" s="19">
        <v>158894</v>
      </c>
      <c r="J25" s="16"/>
    </row>
    <row r="26" spans="1:10" ht="8.1" customHeight="1">
      <c r="A26" s="4"/>
      <c r="B26" s="4"/>
      <c r="C26" s="4"/>
      <c r="D26" s="4"/>
      <c r="E26" s="9"/>
      <c r="F26" s="9"/>
      <c r="G26" s="9"/>
      <c r="H26" s="4"/>
      <c r="I26" s="9"/>
      <c r="J26" s="16"/>
    </row>
    <row r="27" spans="1:10" ht="15" customHeight="1">
      <c r="A27" s="4"/>
      <c r="B27" s="20" t="s">
        <v>25</v>
      </c>
      <c r="C27" s="21"/>
      <c r="D27" s="21"/>
      <c r="E27" s="22"/>
      <c r="F27" s="22"/>
      <c r="G27" s="22"/>
      <c r="H27" s="21"/>
      <c r="I27" s="22"/>
      <c r="J27" s="16"/>
    </row>
    <row r="28" spans="1:10" ht="15" customHeight="1">
      <c r="A28" s="4"/>
      <c r="B28" s="21"/>
      <c r="C28" s="21" t="s">
        <v>26</v>
      </c>
      <c r="D28" s="23"/>
      <c r="E28" s="24">
        <f>E18/E11</f>
        <v>5.4505798548137943</v>
      </c>
      <c r="F28" s="24"/>
      <c r="G28" s="24">
        <f>G18/G11</f>
        <v>3.4692568537027979</v>
      </c>
      <c r="H28" s="24"/>
      <c r="I28" s="24">
        <f>I18/I11</f>
        <v>2.4040426236712902</v>
      </c>
      <c r="J28" s="16"/>
    </row>
    <row r="29" spans="1:10" ht="15" customHeight="1">
      <c r="A29" s="4"/>
      <c r="B29" s="21"/>
      <c r="C29" s="21" t="s">
        <v>27</v>
      </c>
      <c r="D29" s="25"/>
      <c r="E29" s="26">
        <f>E18/E17</f>
        <v>0.43440620170079142</v>
      </c>
      <c r="F29" s="26"/>
      <c r="G29" s="26">
        <f>G18/G17</f>
        <v>0.41519409229431942</v>
      </c>
      <c r="H29" s="26"/>
      <c r="I29" s="26">
        <f>I18/I17</f>
        <v>0.34525089939560605</v>
      </c>
      <c r="J29" s="16"/>
    </row>
    <row r="30" spans="1:10" ht="15" customHeight="1">
      <c r="A30" s="4"/>
      <c r="B30" s="21"/>
      <c r="C30" s="21" t="s">
        <v>28</v>
      </c>
      <c r="D30" s="25"/>
      <c r="E30" s="26">
        <f>E18/E20</f>
        <v>0.6606232720153784</v>
      </c>
      <c r="F30" s="26"/>
      <c r="G30" s="26">
        <f>G18/G20</f>
        <v>0.59577869873373168</v>
      </c>
      <c r="H30" s="26"/>
      <c r="I30" s="26">
        <f>I18/I20</f>
        <v>0.4926965157287706</v>
      </c>
      <c r="J30" s="16"/>
    </row>
    <row r="31" spans="1:10" ht="5.25" customHeight="1" collapsed="1">
      <c r="A31" s="4"/>
      <c r="B31" s="21"/>
      <c r="C31" s="21"/>
      <c r="D31" s="22"/>
      <c r="E31" s="22"/>
      <c r="F31" s="22"/>
      <c r="G31" s="22"/>
      <c r="H31" s="22"/>
      <c r="I31" s="22"/>
      <c r="J31" s="16"/>
    </row>
    <row r="32" spans="1:10" ht="5.25" customHeight="1">
      <c r="A32" s="4"/>
      <c r="B32" s="21"/>
      <c r="C32" s="21"/>
      <c r="D32" s="22"/>
      <c r="E32" s="22"/>
      <c r="F32" s="22"/>
      <c r="G32" s="22"/>
      <c r="H32" s="22"/>
      <c r="I32" s="22"/>
      <c r="J32" s="16"/>
    </row>
    <row r="33" spans="1:10">
      <c r="A33" s="4"/>
      <c r="B33" s="5" t="s">
        <v>29</v>
      </c>
      <c r="C33" s="4"/>
      <c r="D33" s="4"/>
      <c r="E33" s="4"/>
      <c r="F33" s="4"/>
      <c r="G33" s="4"/>
      <c r="H33" s="4"/>
      <c r="I33" s="4"/>
      <c r="J33" s="16"/>
    </row>
    <row r="34" spans="1:10">
      <c r="A34" s="4"/>
      <c r="B34" s="5" t="s">
        <v>30</v>
      </c>
      <c r="C34" s="5" t="s">
        <v>31</v>
      </c>
      <c r="D34" s="4"/>
      <c r="E34" s="4"/>
      <c r="F34" s="4"/>
      <c r="G34" s="4"/>
      <c r="H34" s="4"/>
      <c r="I34" s="4"/>
      <c r="J34" s="16"/>
    </row>
    <row r="35" spans="1:10">
      <c r="A35" s="4"/>
      <c r="B35" s="4"/>
      <c r="C35" s="4"/>
      <c r="D35" s="4"/>
      <c r="E35" s="4"/>
      <c r="F35" s="4"/>
      <c r="G35" s="4"/>
      <c r="H35" s="4"/>
      <c r="I35" s="4"/>
    </row>
  </sheetData>
  <pageMargins left="0.25" right="0.25" top="0.25" bottom="0.25" header="0.25" footer="0.25"/>
  <pageSetup fitToHeight="0" orientation="landscape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</dc:creator>
  <cp:keywords/>
  <dc:description/>
  <cp:lastModifiedBy/>
  <cp:revision/>
  <dcterms:created xsi:type="dcterms:W3CDTF">2022-03-30T20:12:51Z</dcterms:created>
  <dcterms:modified xsi:type="dcterms:W3CDTF">2026-04-14T12:24:56Z</dcterms:modified>
  <cp:category/>
  <cp:contentStatus/>
</cp:coreProperties>
</file>